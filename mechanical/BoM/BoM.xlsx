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38392780-782D-4B61-AE52-88AD5FFA8016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README" sheetId="4" r:id="rId1"/>
    <sheet name="Structural Parts" sheetId="1" r:id="rId2"/>
    <sheet name="Screws" sheetId="2" r:id="rId3"/>
    <sheet name="Electronics" sheetId="3" r:id="rId4"/>
    <sheet name="Hand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M2" i="2"/>
  <c r="L2" i="2"/>
  <c r="J3" i="2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K16" i="2"/>
  <c r="K2" i="2"/>
  <c r="J2" i="2"/>
  <c r="P27" i="1"/>
  <c r="P28" i="1"/>
  <c r="P29" i="1"/>
  <c r="P30" i="1"/>
  <c r="P31" i="1"/>
  <c r="P32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D33" i="1"/>
  <c r="L32" i="1"/>
  <c r="L31" i="1"/>
  <c r="L30" i="1"/>
  <c r="L29" i="1"/>
  <c r="L28" i="1"/>
  <c r="L27" i="1"/>
  <c r="L26" i="1"/>
  <c r="L11" i="1"/>
  <c r="L6" i="1"/>
  <c r="P6" i="1" s="1"/>
  <c r="L9" i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P3" i="1" s="1"/>
  <c r="M21" i="2" l="1"/>
  <c r="M20" i="2"/>
  <c r="M23" i="2"/>
  <c r="M22" i="2"/>
  <c r="M24" i="2"/>
</calcChain>
</file>

<file path=xl/sharedStrings.xml><?xml version="1.0" encoding="utf-8"?>
<sst xmlns="http://schemas.openxmlformats.org/spreadsheetml/2006/main" count="171" uniqueCount="111">
  <si>
    <t>Commit all changes immediately after making them!</t>
  </si>
  <si>
    <t>This file is saved as a .xlsx, not a .csv, so formulas can be included. Unfortunately, this means github cannot process simultaneous edits (like solidworks files), so multiple people cannot be working on this file at once.</t>
  </si>
  <si>
    <t>Different Sheets here:</t>
  </si>
  <si>
    <t>1. Structural Parts (motors, resin prints)</t>
  </si>
  <si>
    <t>2. Screws (by joint)</t>
  </si>
  <si>
    <t>3. Electronics (Needs to be made)</t>
  </si>
  <si>
    <t>4. Hands (Needs to be made)</t>
  </si>
  <si>
    <t>Known stuff that is missing:</t>
  </si>
  <si>
    <t>Gearbox for knees and shoulders</t>
  </si>
  <si>
    <t>All electronics/wire/sensors/etc.</t>
  </si>
  <si>
    <t>Hands (types, HW, motors, etc)</t>
  </si>
  <si>
    <t>BoM</t>
  </si>
  <si>
    <t>Ava</t>
  </si>
  <si>
    <t>Finley</t>
  </si>
  <si>
    <t>Part</t>
  </si>
  <si>
    <t>Quantity</t>
  </si>
  <si>
    <t>Volume (mm3)</t>
  </si>
  <si>
    <t>Cost</t>
  </si>
  <si>
    <t>Type</t>
  </si>
  <si>
    <t>Subsystem</t>
  </si>
  <si>
    <t>Published Version</t>
  </si>
  <si>
    <t>Developing Version</t>
  </si>
  <si>
    <t>Version</t>
  </si>
  <si>
    <t>Flag</t>
  </si>
  <si>
    <t>Notes</t>
  </si>
  <si>
    <t>HerculeX 0602</t>
  </si>
  <si>
    <t>Actuators</t>
  </si>
  <si>
    <t>HerculeX 0601</t>
  </si>
  <si>
    <t>HerculeX 0401</t>
  </si>
  <si>
    <t>HerculeX 0201</t>
  </si>
  <si>
    <t>HerculeX 0101</t>
  </si>
  <si>
    <t>Resin Prints</t>
  </si>
  <si>
    <t>Thigh</t>
  </si>
  <si>
    <t>Structural</t>
  </si>
  <si>
    <t>Leg</t>
  </si>
  <si>
    <t>Shin</t>
  </si>
  <si>
    <t>Knee Gearbox</t>
  </si>
  <si>
    <t>Foot</t>
  </si>
  <si>
    <t>Foot Sole</t>
  </si>
  <si>
    <t>Chest</t>
  </si>
  <si>
    <t>Torso</t>
  </si>
  <si>
    <t>Waist Bearing Connector</t>
  </si>
  <si>
    <t>Motor Mount A</t>
  </si>
  <si>
    <t>Abdomen</t>
  </si>
  <si>
    <t>Back Hook</t>
  </si>
  <si>
    <t>Waist Horn Spacer</t>
  </si>
  <si>
    <t>Motor Mount B</t>
  </si>
  <si>
    <t xml:space="preserve">Pelvis </t>
  </si>
  <si>
    <t>Hip</t>
  </si>
  <si>
    <t>Hip Connector</t>
  </si>
  <si>
    <t>Switch Mount</t>
  </si>
  <si>
    <t>Shoulder Adapter</t>
  </si>
  <si>
    <t>Arm</t>
  </si>
  <si>
    <t>Shoulder</t>
  </si>
  <si>
    <t>Bicep</t>
  </si>
  <si>
    <t>Upper Forearm</t>
  </si>
  <si>
    <t>Lower Forearm</t>
  </si>
  <si>
    <t>Lower Forearm Bracket</t>
  </si>
  <si>
    <t>Wrist</t>
  </si>
  <si>
    <t>Wrist Mounting Pyramid</t>
  </si>
  <si>
    <t>Resin total (kg)</t>
  </si>
  <si>
    <t>Joint</t>
  </si>
  <si>
    <t>Number</t>
  </si>
  <si>
    <t>Motor</t>
  </si>
  <si>
    <t>Mounting Screws</t>
  </si>
  <si>
    <t>Flange Screws</t>
  </si>
  <si>
    <t>Shoulder Screws</t>
  </si>
  <si>
    <t>Other</t>
  </si>
  <si>
    <t>M2x8</t>
  </si>
  <si>
    <t>M2x6</t>
  </si>
  <si>
    <t>M2.5x8</t>
  </si>
  <si>
    <t>M2.5x6</t>
  </si>
  <si>
    <t>Ankle</t>
  </si>
  <si>
    <t>Knee</t>
  </si>
  <si>
    <t>Hip Flexion</t>
  </si>
  <si>
    <t>Hip Rotation</t>
  </si>
  <si>
    <t>Pelvis Abduction</t>
  </si>
  <si>
    <t>Torso Flexion</t>
  </si>
  <si>
    <t>Torso Lateral</t>
  </si>
  <si>
    <t>Ball Bearing</t>
  </si>
  <si>
    <t>Torso Rotation</t>
  </si>
  <si>
    <t>Neck Rotation</t>
  </si>
  <si>
    <t>Neck Tilt</t>
  </si>
  <si>
    <t xml:space="preserve">Shoulder </t>
  </si>
  <si>
    <t>Numbers not checked for v3</t>
  </si>
  <si>
    <t>Wrist Twist</t>
  </si>
  <si>
    <t>Wrist Bend</t>
  </si>
  <si>
    <t>Hands</t>
  </si>
  <si>
    <t>Gearbox</t>
  </si>
  <si>
    <t>Not sure if correct screw type</t>
  </si>
  <si>
    <t>Totals</t>
  </si>
  <si>
    <t>McMaster PN</t>
  </si>
  <si>
    <t>Pack of</t>
  </si>
  <si>
    <t>Flat Head Torx Screws</t>
  </si>
  <si>
    <t>M2x8mm</t>
  </si>
  <si>
    <t>https://www.mcmaster.com/products/90236a105/</t>
  </si>
  <si>
    <t>50x</t>
  </si>
  <si>
    <t>Stator Screws, should populate most of them</t>
  </si>
  <si>
    <t>M2x6mm</t>
  </si>
  <si>
    <t>https://www.mcmaster.com/products/90236a104/</t>
  </si>
  <si>
    <t>Flange Screws, can get away with populating ~50%</t>
  </si>
  <si>
    <t>M2.5x8mm</t>
  </si>
  <si>
    <t>https://www.mcmaster.com/products/92703a159/</t>
  </si>
  <si>
    <t>100x</t>
  </si>
  <si>
    <t>M2.5x6mm</t>
  </si>
  <si>
    <t>https://www.mcmaster.com/products/92703a158/</t>
  </si>
  <si>
    <t>Low Profile Shoulder Screw</t>
  </si>
  <si>
    <t>M3, 4x4 shoulder</t>
  </si>
  <si>
    <t>https://www.mcmaster.com/products/97505a103/</t>
  </si>
  <si>
    <t>10x</t>
  </si>
  <si>
    <t>Joint Screws, need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</si>
</sst>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8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2" fillId="0" borderId="0" xfId="1" applyBorder="1"/>
    <xf numFmtId="0" fontId="2" fillId="0" borderId="6" xfId="1" applyBorder="1"/>
    <xf numFmtId="0" fontId="0" fillId="2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1" xfId="0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FF000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products/90236a104/" TargetMode="External"/><Relationship Id="rId2" Type="http://schemas.openxmlformats.org/officeDocument/2006/relationships/hyperlink" Target="https://www.mcmaster.com/products/92703a159/" TargetMode="External"/><Relationship Id="rId1" Type="http://schemas.openxmlformats.org/officeDocument/2006/relationships/hyperlink" Target="https://www.mcmaster.com/products/92703a158/" TargetMode="External"/><Relationship Id="rId5" Type="http://schemas.openxmlformats.org/officeDocument/2006/relationships/hyperlink" Target="https://www.mcmaster.com/products/97505a103/" TargetMode="External"/><Relationship Id="rId4" Type="http://schemas.openxmlformats.org/officeDocument/2006/relationships/hyperlink" Target="https://www.mcmaster.com/products/90236a1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09AD-F8DC-4D09-BAE5-865B65CD3E08}">
  <dimension ref="B2:B14"/>
  <sheetViews>
    <sheetView workbookViewId="0">
      <selection activeCell="E15" sqref="E15"/>
    </sheetView>
  </sheetViews>
  <sheetFormatPr defaultRowHeight="15"/>
  <sheetData>
    <row r="2" spans="2:2">
      <c r="B2" s="28" t="s">
        <v>0</v>
      </c>
    </row>
    <row r="3" spans="2:2">
      <c r="B3" t="s">
        <v>1</v>
      </c>
    </row>
    <row r="5" spans="2:2">
      <c r="B5" s="2" t="s">
        <v>2</v>
      </c>
    </row>
    <row r="6" spans="2:2">
      <c r="B6" t="s">
        <v>3</v>
      </c>
    </row>
    <row r="7" spans="2:2">
      <c r="B7" t="s">
        <v>4</v>
      </c>
    </row>
    <row r="8" spans="2:2">
      <c r="B8" t="s">
        <v>5</v>
      </c>
    </row>
    <row r="9" spans="2:2">
      <c r="B9" t="s">
        <v>6</v>
      </c>
    </row>
    <row r="11" spans="2:2">
      <c r="B11" s="2" t="s">
        <v>7</v>
      </c>
    </row>
    <row r="12" spans="2:2">
      <c r="B12" t="s">
        <v>8</v>
      </c>
    </row>
    <row r="13" spans="2:2">
      <c r="B13" t="s">
        <v>9</v>
      </c>
    </row>
    <row r="14" spans="2:2">
      <c r="B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workbookViewId="0">
      <selection activeCell="W17" sqref="W17:W18"/>
    </sheetView>
  </sheetViews>
  <sheetFormatPr defaultRowHeight="15"/>
  <cols>
    <col min="1" max="1" width="5.28515625" customWidth="1"/>
    <col min="2" max="2" width="19" customWidth="1"/>
    <col min="3" max="4" width="9.5703125" customWidth="1"/>
    <col min="7" max="7" width="10.28515625" customWidth="1"/>
    <col min="9" max="9" width="12" customWidth="1"/>
    <col min="10" max="10" width="9.140625" style="3"/>
    <col min="12" max="12" width="4.85546875" customWidth="1"/>
    <col min="13" max="13" width="9.140625" style="4"/>
  </cols>
  <sheetData>
    <row r="1" spans="1:17" s="27" customFormat="1">
      <c r="A1" s="26" t="s">
        <v>11</v>
      </c>
      <c r="B1" s="26"/>
      <c r="C1" s="26"/>
      <c r="D1" s="26"/>
      <c r="E1" s="26"/>
      <c r="F1" s="26"/>
      <c r="G1" s="26"/>
      <c r="H1" s="26"/>
      <c r="J1" s="26" t="s">
        <v>12</v>
      </c>
      <c r="K1" s="26"/>
      <c r="L1" s="26"/>
      <c r="M1" s="26"/>
      <c r="N1" s="26" t="s">
        <v>13</v>
      </c>
      <c r="O1" s="26"/>
      <c r="P1" s="26"/>
      <c r="Q1" s="26"/>
    </row>
    <row r="2" spans="1:17" s="23" customFormat="1" ht="29.25">
      <c r="A2" s="23" t="s">
        <v>14</v>
      </c>
      <c r="C2" s="23" t="s">
        <v>15</v>
      </c>
      <c r="D2" s="23" t="s">
        <v>16</v>
      </c>
      <c r="E2" s="23" t="s">
        <v>17</v>
      </c>
      <c r="F2" s="23" t="s">
        <v>18</v>
      </c>
      <c r="G2" s="23" t="s">
        <v>19</v>
      </c>
      <c r="H2" s="23" t="s">
        <v>20</v>
      </c>
      <c r="I2" s="23" t="s">
        <v>21</v>
      </c>
      <c r="J2" s="24" t="s">
        <v>15</v>
      </c>
      <c r="K2" s="23" t="s">
        <v>22</v>
      </c>
      <c r="L2" s="23" t="s">
        <v>23</v>
      </c>
      <c r="M2" s="25" t="s">
        <v>24</v>
      </c>
      <c r="N2" s="24" t="s">
        <v>15</v>
      </c>
      <c r="O2" s="23" t="s">
        <v>22</v>
      </c>
      <c r="P2" s="23" t="s">
        <v>23</v>
      </c>
      <c r="Q2" s="25" t="s">
        <v>24</v>
      </c>
    </row>
    <row r="3" spans="1:17">
      <c r="A3" t="s">
        <v>25</v>
      </c>
      <c r="C3">
        <v>4</v>
      </c>
      <c r="E3" s="1">
        <v>356.4</v>
      </c>
      <c r="F3" t="s">
        <v>26</v>
      </c>
      <c r="L3">
        <f>IF(OR(NOT(K3=H3), NOT(J3=C3)), 1, 0)</f>
        <v>1</v>
      </c>
      <c r="N3" s="3"/>
      <c r="P3">
        <f>IF(OR(NOT(O3=L3), NOT(N3=G3)), 1, 0)</f>
        <v>1</v>
      </c>
      <c r="Q3" s="4"/>
    </row>
    <row r="4" spans="1:17">
      <c r="A4" t="s">
        <v>27</v>
      </c>
      <c r="C4">
        <v>13</v>
      </c>
      <c r="E4" s="1"/>
      <c r="N4" s="3"/>
      <c r="Q4" s="4"/>
    </row>
    <row r="5" spans="1:17">
      <c r="A5" t="s">
        <v>28</v>
      </c>
      <c r="C5">
        <v>0</v>
      </c>
      <c r="E5" s="1"/>
      <c r="N5" s="3"/>
      <c r="Q5" s="4"/>
    </row>
    <row r="6" spans="1:17">
      <c r="A6" t="s">
        <v>29</v>
      </c>
      <c r="C6">
        <v>8</v>
      </c>
      <c r="E6" s="1">
        <v>158</v>
      </c>
      <c r="F6" t="s">
        <v>26</v>
      </c>
      <c r="L6">
        <f>IF(OR(NOT(K6=H6), NOT(J6=C6)), 1, 0)</f>
        <v>1</v>
      </c>
      <c r="N6" s="3"/>
      <c r="P6">
        <f>IF(OR(NOT(O6=L6), NOT(N6=G6)), 1, 0)</f>
        <v>1</v>
      </c>
      <c r="Q6" s="4"/>
    </row>
    <row r="7" spans="1:17">
      <c r="A7" t="s">
        <v>30</v>
      </c>
      <c r="C7">
        <v>0</v>
      </c>
      <c r="E7" s="1"/>
      <c r="N7" s="3"/>
      <c r="Q7" s="4"/>
    </row>
    <row r="8" spans="1:17" s="20" customFormat="1">
      <c r="A8" s="19" t="s">
        <v>31</v>
      </c>
      <c r="J8" s="21"/>
      <c r="M8" s="22"/>
      <c r="N8" s="21"/>
      <c r="Q8" s="22"/>
    </row>
    <row r="9" spans="1:17">
      <c r="B9" t="s">
        <v>32</v>
      </c>
      <c r="C9">
        <v>2</v>
      </c>
      <c r="D9">
        <v>60900</v>
      </c>
      <c r="F9" t="s">
        <v>33</v>
      </c>
      <c r="G9" t="s">
        <v>34</v>
      </c>
      <c r="H9">
        <v>1</v>
      </c>
      <c r="I9">
        <v>1</v>
      </c>
      <c r="J9" s="3">
        <v>2</v>
      </c>
      <c r="K9">
        <v>1</v>
      </c>
      <c r="L9">
        <f>IF(OR(NOT(K9=H9), NOT(J9=C9)), 1, 0)</f>
        <v>0</v>
      </c>
      <c r="N9" s="3"/>
      <c r="P9">
        <f t="shared" ref="P9:P25" si="0">IF(OR(NOT(O9=$H9), NOT(N9=$C9)), 1, 0)</f>
        <v>1</v>
      </c>
      <c r="Q9" s="4"/>
    </row>
    <row r="10" spans="1:17">
      <c r="B10" t="s">
        <v>35</v>
      </c>
      <c r="C10">
        <v>2</v>
      </c>
      <c r="D10">
        <v>92700</v>
      </c>
      <c r="F10" t="s">
        <v>33</v>
      </c>
      <c r="G10" t="s">
        <v>34</v>
      </c>
      <c r="H10">
        <v>1</v>
      </c>
      <c r="I10">
        <v>2</v>
      </c>
      <c r="J10" s="3">
        <v>2</v>
      </c>
      <c r="K10">
        <v>1</v>
      </c>
      <c r="L10">
        <f>IF(OR(NOT(K10=H10), NOT(J10=C10)), 1, 0)</f>
        <v>0</v>
      </c>
      <c r="N10" s="3"/>
      <c r="P10">
        <f t="shared" si="0"/>
        <v>1</v>
      </c>
      <c r="Q10" s="4"/>
    </row>
    <row r="11" spans="1:17">
      <c r="B11" t="s">
        <v>36</v>
      </c>
      <c r="C11">
        <v>2</v>
      </c>
      <c r="F11" t="s">
        <v>33</v>
      </c>
      <c r="G11" t="s">
        <v>34</v>
      </c>
      <c r="H11">
        <v>1</v>
      </c>
      <c r="I11">
        <v>2</v>
      </c>
      <c r="J11" s="3">
        <v>0</v>
      </c>
      <c r="K11">
        <v>1</v>
      </c>
      <c r="L11">
        <f>IF(OR(NOT(K11=H11), NOT(J11=C11)), 1, 0)</f>
        <v>1</v>
      </c>
      <c r="N11" s="3"/>
      <c r="P11">
        <f t="shared" si="0"/>
        <v>1</v>
      </c>
      <c r="Q11" s="4"/>
    </row>
    <row r="12" spans="1:17">
      <c r="B12" t="s">
        <v>37</v>
      </c>
      <c r="C12">
        <v>2</v>
      </c>
      <c r="D12">
        <v>39500</v>
      </c>
      <c r="F12" t="s">
        <v>33</v>
      </c>
      <c r="G12" t="s">
        <v>34</v>
      </c>
      <c r="H12">
        <v>1</v>
      </c>
      <c r="I12">
        <v>1</v>
      </c>
      <c r="J12" s="3">
        <v>2</v>
      </c>
      <c r="K12">
        <v>1</v>
      </c>
      <c r="L12">
        <f>IF(OR(NOT(K12=H12), NOT(J12=C12)), 1, 0)</f>
        <v>0</v>
      </c>
      <c r="N12" s="3"/>
      <c r="P12">
        <f t="shared" si="0"/>
        <v>1</v>
      </c>
      <c r="Q12" s="4"/>
    </row>
    <row r="13" spans="1:17">
      <c r="B13" t="s">
        <v>38</v>
      </c>
      <c r="C13">
        <v>2</v>
      </c>
      <c r="D13">
        <v>13000</v>
      </c>
      <c r="F13" t="s">
        <v>33</v>
      </c>
      <c r="G13" t="s">
        <v>34</v>
      </c>
      <c r="H13">
        <v>1</v>
      </c>
      <c r="I13">
        <v>1</v>
      </c>
      <c r="J13" s="3">
        <v>2</v>
      </c>
      <c r="K13">
        <v>1</v>
      </c>
      <c r="L13">
        <f>IF(OR(NOT(K13=H13), NOT(J13=C13)), 1, 0)</f>
        <v>0</v>
      </c>
      <c r="N13" s="3"/>
      <c r="P13">
        <f t="shared" si="0"/>
        <v>1</v>
      </c>
      <c r="Q13" s="4"/>
    </row>
    <row r="14" spans="1:17">
      <c r="B14" t="s">
        <v>39</v>
      </c>
      <c r="C14">
        <v>1</v>
      </c>
      <c r="D14">
        <v>176700</v>
      </c>
      <c r="F14" t="s">
        <v>33</v>
      </c>
      <c r="G14" t="s">
        <v>40</v>
      </c>
      <c r="H14">
        <v>1</v>
      </c>
      <c r="I14">
        <v>1</v>
      </c>
      <c r="J14" s="3">
        <v>1</v>
      </c>
      <c r="K14">
        <v>1</v>
      </c>
      <c r="L14">
        <f>IF(OR(NOT(K14=H14), NOT(J14=C14)), 1, 0)</f>
        <v>0</v>
      </c>
      <c r="N14" s="3"/>
      <c r="P14">
        <f t="shared" si="0"/>
        <v>1</v>
      </c>
      <c r="Q14" s="4"/>
    </row>
    <row r="15" spans="1:17">
      <c r="B15" t="s">
        <v>41</v>
      </c>
      <c r="C15">
        <v>1</v>
      </c>
      <c r="D15">
        <v>3900</v>
      </c>
      <c r="F15" t="s">
        <v>33</v>
      </c>
      <c r="G15" t="s">
        <v>40</v>
      </c>
      <c r="H15">
        <v>1</v>
      </c>
      <c r="I15">
        <v>1</v>
      </c>
      <c r="J15" s="3">
        <v>1</v>
      </c>
      <c r="K15">
        <v>1</v>
      </c>
      <c r="L15">
        <f>IF(OR(NOT(K15=H15), NOT(J15=C15)), 1, 0)</f>
        <v>0</v>
      </c>
      <c r="N15" s="3"/>
      <c r="P15">
        <f t="shared" si="0"/>
        <v>1</v>
      </c>
      <c r="Q15" s="4"/>
    </row>
    <row r="16" spans="1:17">
      <c r="B16" t="s">
        <v>42</v>
      </c>
      <c r="C16">
        <v>3</v>
      </c>
      <c r="D16">
        <v>3800</v>
      </c>
      <c r="F16" t="s">
        <v>33</v>
      </c>
      <c r="G16" t="s">
        <v>40</v>
      </c>
      <c r="H16">
        <v>1</v>
      </c>
      <c r="I16">
        <v>1</v>
      </c>
      <c r="J16" s="3">
        <v>3</v>
      </c>
      <c r="K16">
        <v>1</v>
      </c>
      <c r="L16">
        <f>IF(OR(NOT(K16=H16), NOT(J16=C16)), 1, 0)</f>
        <v>0</v>
      </c>
      <c r="N16" s="3"/>
      <c r="P16">
        <f t="shared" si="0"/>
        <v>1</v>
      </c>
      <c r="Q16" s="4"/>
    </row>
    <row r="17" spans="2:17">
      <c r="B17" t="s">
        <v>43</v>
      </c>
      <c r="C17">
        <v>1</v>
      </c>
      <c r="D17">
        <v>43300</v>
      </c>
      <c r="F17" t="s">
        <v>33</v>
      </c>
      <c r="G17" t="s">
        <v>40</v>
      </c>
      <c r="H17">
        <v>1</v>
      </c>
      <c r="I17">
        <v>1</v>
      </c>
      <c r="J17" s="3">
        <v>1</v>
      </c>
      <c r="K17">
        <v>1</v>
      </c>
      <c r="L17">
        <f>IF(OR(NOT(K17=H17), NOT(J17=C17)), 1, 0)</f>
        <v>0</v>
      </c>
      <c r="N17" s="3"/>
      <c r="P17">
        <f t="shared" si="0"/>
        <v>1</v>
      </c>
      <c r="Q17" s="4"/>
    </row>
    <row r="18" spans="2:17">
      <c r="B18" t="s">
        <v>44</v>
      </c>
      <c r="C18">
        <v>1</v>
      </c>
      <c r="D18">
        <v>20000</v>
      </c>
      <c r="F18" t="s">
        <v>33</v>
      </c>
      <c r="G18" t="s">
        <v>40</v>
      </c>
      <c r="H18">
        <v>1</v>
      </c>
      <c r="I18">
        <v>1</v>
      </c>
      <c r="J18" s="3">
        <v>1</v>
      </c>
      <c r="K18">
        <v>1</v>
      </c>
      <c r="L18">
        <f>IF(OR(NOT(K18=H18), NOT(J18=C18)), 1, 0)</f>
        <v>0</v>
      </c>
      <c r="N18" s="3"/>
      <c r="P18">
        <f t="shared" si="0"/>
        <v>1</v>
      </c>
      <c r="Q18" s="4"/>
    </row>
    <row r="19" spans="2:17">
      <c r="B19" t="s">
        <v>45</v>
      </c>
      <c r="C19">
        <v>1</v>
      </c>
      <c r="D19">
        <v>1400</v>
      </c>
      <c r="F19" t="s">
        <v>33</v>
      </c>
      <c r="G19" t="s">
        <v>40</v>
      </c>
      <c r="H19">
        <v>1</v>
      </c>
      <c r="I19">
        <v>1</v>
      </c>
      <c r="J19" s="3">
        <v>1</v>
      </c>
      <c r="K19">
        <v>1</v>
      </c>
      <c r="L19">
        <f>IF(OR(NOT(K19=H19), NOT(J19=C19)), 1, 0)</f>
        <v>0</v>
      </c>
      <c r="N19" s="3"/>
      <c r="P19">
        <f t="shared" si="0"/>
        <v>1</v>
      </c>
      <c r="Q19" s="4"/>
    </row>
    <row r="20" spans="2:17">
      <c r="B20" t="s">
        <v>46</v>
      </c>
      <c r="C20">
        <v>1</v>
      </c>
      <c r="D20">
        <v>7400</v>
      </c>
      <c r="F20" t="s">
        <v>33</v>
      </c>
      <c r="G20" t="s">
        <v>40</v>
      </c>
      <c r="H20">
        <v>1</v>
      </c>
      <c r="I20">
        <v>1</v>
      </c>
      <c r="J20" s="3">
        <v>1</v>
      </c>
      <c r="K20">
        <v>1</v>
      </c>
      <c r="L20">
        <f>IF(OR(NOT(K20=H20), NOT(J20=C20)), 1, 0)</f>
        <v>0</v>
      </c>
      <c r="N20" s="3"/>
      <c r="P20">
        <f t="shared" si="0"/>
        <v>1</v>
      </c>
      <c r="Q20" s="4"/>
    </row>
    <row r="21" spans="2:17">
      <c r="B21" t="s">
        <v>47</v>
      </c>
      <c r="C21">
        <v>1</v>
      </c>
      <c r="D21">
        <v>31600</v>
      </c>
      <c r="F21" t="s">
        <v>33</v>
      </c>
      <c r="G21" t="s">
        <v>40</v>
      </c>
      <c r="H21">
        <v>1</v>
      </c>
      <c r="I21">
        <v>1</v>
      </c>
      <c r="J21" s="3">
        <v>1</v>
      </c>
      <c r="K21">
        <v>1</v>
      </c>
      <c r="L21">
        <f>IF(OR(NOT(K21=H21), NOT(J21=C21)), 1, 0)</f>
        <v>0</v>
      </c>
      <c r="N21" s="3"/>
      <c r="P21">
        <f t="shared" si="0"/>
        <v>1</v>
      </c>
      <c r="Q21" s="4"/>
    </row>
    <row r="22" spans="2:17">
      <c r="B22" t="s">
        <v>48</v>
      </c>
      <c r="C22">
        <v>2</v>
      </c>
      <c r="D22">
        <v>21700</v>
      </c>
      <c r="F22" t="s">
        <v>33</v>
      </c>
      <c r="G22" t="s">
        <v>40</v>
      </c>
      <c r="H22">
        <v>1</v>
      </c>
      <c r="I22">
        <v>1</v>
      </c>
      <c r="J22" s="3">
        <v>2</v>
      </c>
      <c r="K22">
        <v>1</v>
      </c>
      <c r="L22">
        <f>IF(OR(NOT(K22=H22), NOT(J22=C22)), 1, 0)</f>
        <v>0</v>
      </c>
      <c r="N22" s="3"/>
      <c r="P22">
        <f t="shared" si="0"/>
        <v>1</v>
      </c>
      <c r="Q22" s="4"/>
    </row>
    <row r="23" spans="2:17">
      <c r="B23" t="s">
        <v>49</v>
      </c>
      <c r="C23">
        <v>2</v>
      </c>
      <c r="D23">
        <v>16200</v>
      </c>
      <c r="F23" t="s">
        <v>33</v>
      </c>
      <c r="G23" t="s">
        <v>40</v>
      </c>
      <c r="H23">
        <v>1</v>
      </c>
      <c r="I23">
        <v>1</v>
      </c>
      <c r="J23" s="3">
        <v>2</v>
      </c>
      <c r="K23">
        <v>1</v>
      </c>
      <c r="L23">
        <f>IF(OR(NOT(K23=H23), NOT(J23=C23)), 1, 0)</f>
        <v>0</v>
      </c>
      <c r="N23" s="3"/>
      <c r="P23">
        <f t="shared" si="0"/>
        <v>1</v>
      </c>
      <c r="Q23" s="4"/>
    </row>
    <row r="24" spans="2:17">
      <c r="B24" t="s">
        <v>50</v>
      </c>
      <c r="C24">
        <v>1</v>
      </c>
      <c r="D24">
        <v>14500</v>
      </c>
      <c r="F24" t="s">
        <v>33</v>
      </c>
      <c r="G24" t="s">
        <v>40</v>
      </c>
      <c r="H24">
        <v>1</v>
      </c>
      <c r="I24">
        <v>1</v>
      </c>
      <c r="J24" s="3">
        <v>1</v>
      </c>
      <c r="K24">
        <v>1</v>
      </c>
      <c r="L24">
        <f>IF(OR(NOT(K24=H24), NOT(J24=C24)), 1, 0)</f>
        <v>0</v>
      </c>
      <c r="N24" s="3"/>
      <c r="P24">
        <f t="shared" si="0"/>
        <v>1</v>
      </c>
      <c r="Q24" s="4"/>
    </row>
    <row r="25" spans="2:17">
      <c r="B25" t="s">
        <v>51</v>
      </c>
      <c r="C25">
        <v>2</v>
      </c>
      <c r="D25">
        <v>29200</v>
      </c>
      <c r="F25" t="s">
        <v>33</v>
      </c>
      <c r="G25" t="s">
        <v>52</v>
      </c>
      <c r="H25">
        <v>1</v>
      </c>
      <c r="I25">
        <v>1</v>
      </c>
      <c r="J25" s="3">
        <v>2</v>
      </c>
      <c r="K25">
        <v>1</v>
      </c>
      <c r="L25">
        <f>IF(OR(NOT(K25=H25), NOT(J25=C25)), 1, 0)</f>
        <v>0</v>
      </c>
      <c r="N25" s="3"/>
      <c r="P25">
        <f t="shared" si="0"/>
        <v>1</v>
      </c>
      <c r="Q25" s="4"/>
    </row>
    <row r="26" spans="2:17">
      <c r="B26" t="s">
        <v>53</v>
      </c>
      <c r="C26">
        <v>2</v>
      </c>
      <c r="D26">
        <v>78400</v>
      </c>
      <c r="F26" t="s">
        <v>33</v>
      </c>
      <c r="G26" t="s">
        <v>52</v>
      </c>
      <c r="H26">
        <v>1</v>
      </c>
      <c r="I26">
        <v>1</v>
      </c>
      <c r="J26" s="3">
        <v>2</v>
      </c>
      <c r="K26">
        <v>1</v>
      </c>
      <c r="L26">
        <f t="shared" ref="L26:L32" si="1">IF(OR(NOT(K26=H26), NOT(J26=C26)), 1, 0)</f>
        <v>0</v>
      </c>
      <c r="N26" s="3"/>
      <c r="P26">
        <f>IF(OR(NOT(O26=$H26), NOT(N26=$C26)), 1, 0)</f>
        <v>1</v>
      </c>
      <c r="Q26" s="4"/>
    </row>
    <row r="27" spans="2:17">
      <c r="B27" t="s">
        <v>54</v>
      </c>
      <c r="C27">
        <v>2</v>
      </c>
      <c r="D27">
        <v>48600</v>
      </c>
      <c r="F27" t="s">
        <v>33</v>
      </c>
      <c r="G27" t="s">
        <v>52</v>
      </c>
      <c r="H27">
        <v>1</v>
      </c>
      <c r="I27">
        <v>1</v>
      </c>
      <c r="J27" s="3">
        <v>0</v>
      </c>
      <c r="K27">
        <v>1</v>
      </c>
      <c r="L27">
        <f t="shared" si="1"/>
        <v>1</v>
      </c>
      <c r="N27" s="3"/>
      <c r="P27">
        <f t="shared" ref="P27:P32" si="2">IF(OR(NOT(O27=$H27), NOT(N27=$C27)), 1, 0)</f>
        <v>1</v>
      </c>
      <c r="Q27" s="4"/>
    </row>
    <row r="28" spans="2:17">
      <c r="B28" t="s">
        <v>55</v>
      </c>
      <c r="C28">
        <v>2</v>
      </c>
      <c r="D28">
        <v>28300</v>
      </c>
      <c r="F28" t="s">
        <v>33</v>
      </c>
      <c r="G28" t="s">
        <v>52</v>
      </c>
      <c r="H28">
        <v>1</v>
      </c>
      <c r="I28">
        <v>1</v>
      </c>
      <c r="J28" s="3">
        <v>0</v>
      </c>
      <c r="K28">
        <v>1</v>
      </c>
      <c r="L28">
        <f t="shared" si="1"/>
        <v>1</v>
      </c>
      <c r="N28" s="3"/>
      <c r="P28">
        <f t="shared" si="2"/>
        <v>1</v>
      </c>
      <c r="Q28" s="4"/>
    </row>
    <row r="29" spans="2:17">
      <c r="B29" t="s">
        <v>56</v>
      </c>
      <c r="C29">
        <v>2</v>
      </c>
      <c r="D29">
        <v>18300</v>
      </c>
      <c r="F29" t="s">
        <v>33</v>
      </c>
      <c r="G29" t="s">
        <v>52</v>
      </c>
      <c r="H29">
        <v>1</v>
      </c>
      <c r="I29">
        <v>1</v>
      </c>
      <c r="J29" s="3">
        <v>0</v>
      </c>
      <c r="K29">
        <v>1</v>
      </c>
      <c r="L29">
        <f t="shared" si="1"/>
        <v>1</v>
      </c>
      <c r="N29" s="3"/>
      <c r="P29">
        <f t="shared" si="2"/>
        <v>1</v>
      </c>
      <c r="Q29" s="4"/>
    </row>
    <row r="30" spans="2:17">
      <c r="B30" t="s">
        <v>57</v>
      </c>
      <c r="C30">
        <v>2</v>
      </c>
      <c r="D30">
        <v>4600</v>
      </c>
      <c r="F30" t="s">
        <v>33</v>
      </c>
      <c r="G30" t="s">
        <v>52</v>
      </c>
      <c r="H30">
        <v>1</v>
      </c>
      <c r="I30">
        <v>1</v>
      </c>
      <c r="J30" s="3">
        <v>0</v>
      </c>
      <c r="K30">
        <v>1</v>
      </c>
      <c r="L30">
        <f t="shared" si="1"/>
        <v>1</v>
      </c>
      <c r="N30" s="3"/>
      <c r="P30">
        <f t="shared" si="2"/>
        <v>1</v>
      </c>
      <c r="Q30" s="4"/>
    </row>
    <row r="31" spans="2:17">
      <c r="B31" t="s">
        <v>58</v>
      </c>
      <c r="C31">
        <v>2</v>
      </c>
      <c r="D31">
        <v>19000</v>
      </c>
      <c r="F31" t="s">
        <v>33</v>
      </c>
      <c r="G31" t="s">
        <v>52</v>
      </c>
      <c r="H31">
        <v>1</v>
      </c>
      <c r="I31">
        <v>1</v>
      </c>
      <c r="J31" s="3">
        <v>0</v>
      </c>
      <c r="K31">
        <v>1</v>
      </c>
      <c r="L31">
        <f t="shared" si="1"/>
        <v>1</v>
      </c>
      <c r="N31" s="3"/>
      <c r="P31">
        <f t="shared" si="2"/>
        <v>1</v>
      </c>
      <c r="Q31" s="4"/>
    </row>
    <row r="32" spans="2:17">
      <c r="B32" t="s">
        <v>59</v>
      </c>
      <c r="C32">
        <v>2</v>
      </c>
      <c r="D32">
        <v>2900</v>
      </c>
      <c r="F32" t="s">
        <v>33</v>
      </c>
      <c r="G32" t="s">
        <v>52</v>
      </c>
      <c r="H32">
        <v>1</v>
      </c>
      <c r="I32">
        <v>1</v>
      </c>
      <c r="J32" s="3">
        <v>0</v>
      </c>
      <c r="K32">
        <v>1</v>
      </c>
      <c r="L32">
        <f t="shared" si="1"/>
        <v>1</v>
      </c>
      <c r="N32" s="3"/>
      <c r="P32">
        <f t="shared" si="2"/>
        <v>1</v>
      </c>
      <c r="Q32" s="4"/>
    </row>
    <row r="33" spans="2:17">
      <c r="B33" s="2" t="s">
        <v>60</v>
      </c>
      <c r="D33" s="5">
        <f>SUMPRODUCT(C9:D32)*10^-6*1.15</f>
        <v>0.89233214999999988</v>
      </c>
      <c r="N33" s="3"/>
      <c r="Q33" s="4"/>
    </row>
  </sheetData>
  <mergeCells count="3">
    <mergeCell ref="A1:H1"/>
    <mergeCell ref="J1:M1"/>
    <mergeCell ref="N1:Q1"/>
  </mergeCells>
  <conditionalFormatting sqref="L3:L81 P3:P33">
    <cfRule type="cellIs" dxfId="0" priority="2" operator="equal">
      <formula>1</formula>
    </cfRule>
  </conditionalFormatting>
  <dataValidations count="2">
    <dataValidation type="list" allowBlank="1" showInputMessage="1" showErrorMessage="1" sqref="F35:F36 F3:F33" xr:uid="{87D0A931-1D31-4B9A-A149-FC9756580625}">
      <formula1>"Actuators, Electrical, Structural, Fasteners"</formula1>
    </dataValidation>
    <dataValidation type="list" allowBlank="1" showInputMessage="1" showErrorMessage="1" sqref="G3:G36" xr:uid="{36D259C2-41D2-4C9E-946C-CCCCD85184B6}">
      <formula1>"Torso, Leg, Arm, Head"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0CC7-314E-4194-860A-6BB8BB06BA44}">
  <dimension ref="A1:N24"/>
  <sheetViews>
    <sheetView workbookViewId="0">
      <selection activeCell="R32" sqref="R32"/>
    </sheetView>
  </sheetViews>
  <sheetFormatPr defaultRowHeight="15"/>
  <cols>
    <col min="1" max="1" width="15.42578125" bestFit="1" customWidth="1"/>
    <col min="3" max="3" width="6.140625" bestFit="1" customWidth="1"/>
    <col min="4" max="4" width="15.5703125" customWidth="1"/>
    <col min="5" max="5" width="13.5703125" bestFit="1" customWidth="1"/>
    <col min="6" max="6" width="15.5703125" bestFit="1" customWidth="1"/>
  </cols>
  <sheetData>
    <row r="1" spans="1:1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53</v>
      </c>
    </row>
    <row r="2" spans="1:14">
      <c r="A2" t="s">
        <v>72</v>
      </c>
      <c r="B2">
        <v>2</v>
      </c>
      <c r="C2">
        <v>201</v>
      </c>
      <c r="D2">
        <v>4</v>
      </c>
      <c r="E2">
        <v>6</v>
      </c>
      <c r="F2">
        <v>1</v>
      </c>
      <c r="J2">
        <f>IF($C2=201, $B2*D2, 0)</f>
        <v>8</v>
      </c>
      <c r="K2">
        <f>IF($C2=201, $B2*E2, 0)</f>
        <v>12</v>
      </c>
      <c r="L2">
        <f>IF($C2=601, $B2*D2, 0)</f>
        <v>0</v>
      </c>
      <c r="M2">
        <f>IF($C2=601, $B2*E2, 0)</f>
        <v>0</v>
      </c>
      <c r="N2">
        <f>F2*B2</f>
        <v>2</v>
      </c>
    </row>
    <row r="3" spans="1:14">
      <c r="A3" t="s">
        <v>73</v>
      </c>
      <c r="B3">
        <v>2</v>
      </c>
      <c r="C3">
        <v>602</v>
      </c>
      <c r="D3">
        <v>8</v>
      </c>
      <c r="E3">
        <v>0</v>
      </c>
      <c r="F3">
        <v>1</v>
      </c>
      <c r="J3">
        <f t="shared" ref="J3:J16" si="0">IF($C3=201, $B3*D3, 0)</f>
        <v>0</v>
      </c>
      <c r="K3">
        <f t="shared" ref="K3:K16" si="1">IF($C3=201, $B3*E3, 0)</f>
        <v>0</v>
      </c>
      <c r="L3">
        <f t="shared" ref="L3:L16" si="2">IF($C3=601, $B3*D3, 0)</f>
        <v>0</v>
      </c>
      <c r="M3">
        <f t="shared" ref="M3:M16" si="3">IF($C3=601, $B3*E3, 0)</f>
        <v>0</v>
      </c>
      <c r="N3">
        <f t="shared" ref="N3:N16" si="4">F3*B3</f>
        <v>2</v>
      </c>
    </row>
    <row r="4" spans="1:14">
      <c r="A4" t="s">
        <v>74</v>
      </c>
      <c r="B4">
        <v>2</v>
      </c>
      <c r="C4">
        <v>601</v>
      </c>
      <c r="D4">
        <v>6</v>
      </c>
      <c r="E4">
        <v>8</v>
      </c>
      <c r="F4">
        <v>1</v>
      </c>
      <c r="J4">
        <f t="shared" si="0"/>
        <v>0</v>
      </c>
      <c r="K4">
        <f t="shared" si="1"/>
        <v>0</v>
      </c>
      <c r="L4">
        <f t="shared" si="2"/>
        <v>12</v>
      </c>
      <c r="M4">
        <f t="shared" si="3"/>
        <v>16</v>
      </c>
      <c r="N4">
        <f t="shared" si="4"/>
        <v>2</v>
      </c>
    </row>
    <row r="5" spans="1:14">
      <c r="A5" t="s">
        <v>75</v>
      </c>
      <c r="B5">
        <v>2</v>
      </c>
      <c r="C5">
        <v>601</v>
      </c>
      <c r="D5">
        <v>6</v>
      </c>
      <c r="E5">
        <v>8</v>
      </c>
      <c r="F5">
        <v>0</v>
      </c>
      <c r="J5">
        <f t="shared" si="0"/>
        <v>0</v>
      </c>
      <c r="K5">
        <f t="shared" si="1"/>
        <v>0</v>
      </c>
      <c r="L5">
        <f t="shared" si="2"/>
        <v>12</v>
      </c>
      <c r="M5">
        <f t="shared" si="3"/>
        <v>16</v>
      </c>
      <c r="N5">
        <f t="shared" si="4"/>
        <v>0</v>
      </c>
    </row>
    <row r="6" spans="1:14">
      <c r="A6" t="s">
        <v>76</v>
      </c>
      <c r="B6">
        <v>2</v>
      </c>
      <c r="C6">
        <v>601</v>
      </c>
      <c r="D6">
        <v>8</v>
      </c>
      <c r="E6">
        <v>8</v>
      </c>
      <c r="F6">
        <v>1</v>
      </c>
      <c r="J6">
        <f t="shared" si="0"/>
        <v>0</v>
      </c>
      <c r="K6">
        <f t="shared" si="1"/>
        <v>0</v>
      </c>
      <c r="L6">
        <f t="shared" si="2"/>
        <v>16</v>
      </c>
      <c r="M6">
        <f t="shared" si="3"/>
        <v>16</v>
      </c>
      <c r="N6">
        <f t="shared" si="4"/>
        <v>2</v>
      </c>
    </row>
    <row r="7" spans="1:14">
      <c r="A7" t="s">
        <v>77</v>
      </c>
      <c r="B7">
        <v>1</v>
      </c>
      <c r="C7">
        <v>601</v>
      </c>
      <c r="D7">
        <v>8</v>
      </c>
      <c r="E7">
        <v>8</v>
      </c>
      <c r="F7">
        <v>1</v>
      </c>
      <c r="J7">
        <f t="shared" si="0"/>
        <v>0</v>
      </c>
      <c r="K7">
        <f t="shared" si="1"/>
        <v>0</v>
      </c>
      <c r="L7">
        <f t="shared" si="2"/>
        <v>8</v>
      </c>
      <c r="M7">
        <f t="shared" si="3"/>
        <v>8</v>
      </c>
      <c r="N7">
        <f t="shared" si="4"/>
        <v>1</v>
      </c>
    </row>
    <row r="8" spans="1:14">
      <c r="A8" t="s">
        <v>78</v>
      </c>
      <c r="B8">
        <v>1</v>
      </c>
      <c r="C8">
        <v>601</v>
      </c>
      <c r="D8">
        <v>8</v>
      </c>
      <c r="E8">
        <v>8</v>
      </c>
      <c r="F8">
        <v>0</v>
      </c>
      <c r="G8" t="s">
        <v>79</v>
      </c>
      <c r="J8">
        <f t="shared" si="0"/>
        <v>0</v>
      </c>
      <c r="K8">
        <f t="shared" si="1"/>
        <v>0</v>
      </c>
      <c r="L8">
        <f t="shared" si="2"/>
        <v>8</v>
      </c>
      <c r="M8">
        <f t="shared" si="3"/>
        <v>8</v>
      </c>
      <c r="N8">
        <f t="shared" si="4"/>
        <v>0</v>
      </c>
    </row>
    <row r="9" spans="1:14">
      <c r="A9" t="s">
        <v>80</v>
      </c>
      <c r="B9">
        <v>1</v>
      </c>
      <c r="C9">
        <v>601</v>
      </c>
      <c r="D9">
        <v>8</v>
      </c>
      <c r="E9">
        <v>8</v>
      </c>
      <c r="F9">
        <v>0</v>
      </c>
      <c r="J9">
        <f t="shared" si="0"/>
        <v>0</v>
      </c>
      <c r="K9">
        <f t="shared" si="1"/>
        <v>0</v>
      </c>
      <c r="L9">
        <f t="shared" si="2"/>
        <v>8</v>
      </c>
      <c r="M9">
        <f t="shared" si="3"/>
        <v>8</v>
      </c>
      <c r="N9">
        <f t="shared" si="4"/>
        <v>0</v>
      </c>
    </row>
    <row r="10" spans="1:14">
      <c r="A10" t="s">
        <v>81</v>
      </c>
      <c r="B10">
        <v>1</v>
      </c>
      <c r="C10">
        <v>201</v>
      </c>
      <c r="D10">
        <v>6</v>
      </c>
      <c r="E10">
        <v>4</v>
      </c>
      <c r="F10">
        <v>0</v>
      </c>
      <c r="J10">
        <f t="shared" si="0"/>
        <v>6</v>
      </c>
      <c r="K10">
        <f t="shared" si="1"/>
        <v>4</v>
      </c>
      <c r="L10">
        <f t="shared" si="2"/>
        <v>0</v>
      </c>
      <c r="M10">
        <f t="shared" si="3"/>
        <v>0</v>
      </c>
      <c r="N10">
        <f t="shared" si="4"/>
        <v>0</v>
      </c>
    </row>
    <row r="11" spans="1:14">
      <c r="A11" t="s">
        <v>82</v>
      </c>
      <c r="B11">
        <v>1</v>
      </c>
      <c r="C11">
        <v>201</v>
      </c>
      <c r="D11">
        <v>4</v>
      </c>
      <c r="E11">
        <v>4</v>
      </c>
      <c r="F11">
        <v>1</v>
      </c>
      <c r="J11">
        <f t="shared" si="0"/>
        <v>4</v>
      </c>
      <c r="K11">
        <f t="shared" si="1"/>
        <v>4</v>
      </c>
      <c r="L11">
        <f t="shared" si="2"/>
        <v>0</v>
      </c>
      <c r="M11">
        <f t="shared" si="3"/>
        <v>0</v>
      </c>
      <c r="N11">
        <f t="shared" si="4"/>
        <v>1</v>
      </c>
    </row>
    <row r="12" spans="1:14">
      <c r="A12" t="s">
        <v>83</v>
      </c>
      <c r="B12">
        <v>2</v>
      </c>
      <c r="C12">
        <v>602</v>
      </c>
      <c r="D12" s="11">
        <v>6</v>
      </c>
      <c r="E12" s="11"/>
      <c r="F12" s="11">
        <v>1</v>
      </c>
      <c r="G12" t="s">
        <v>84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  <c r="N12">
        <f t="shared" si="4"/>
        <v>2</v>
      </c>
    </row>
    <row r="13" spans="1:14">
      <c r="A13" t="s">
        <v>54</v>
      </c>
      <c r="B13">
        <v>2</v>
      </c>
      <c r="C13">
        <v>601</v>
      </c>
      <c r="D13" s="11">
        <v>6</v>
      </c>
      <c r="E13" s="11">
        <v>6</v>
      </c>
      <c r="F13" s="11">
        <v>1</v>
      </c>
      <c r="G13" t="s">
        <v>84</v>
      </c>
      <c r="J13">
        <f t="shared" si="0"/>
        <v>0</v>
      </c>
      <c r="K13">
        <f t="shared" si="1"/>
        <v>0</v>
      </c>
      <c r="L13">
        <f t="shared" si="2"/>
        <v>12</v>
      </c>
      <c r="M13">
        <f t="shared" si="3"/>
        <v>12</v>
      </c>
      <c r="N13">
        <f t="shared" si="4"/>
        <v>2</v>
      </c>
    </row>
    <row r="14" spans="1:14">
      <c r="A14" t="s">
        <v>85</v>
      </c>
      <c r="B14">
        <v>2</v>
      </c>
      <c r="C14">
        <v>201</v>
      </c>
      <c r="D14" s="11">
        <v>6</v>
      </c>
      <c r="E14" s="11">
        <v>6</v>
      </c>
      <c r="F14" s="11">
        <v>0</v>
      </c>
      <c r="G14" t="s">
        <v>84</v>
      </c>
      <c r="J14">
        <f t="shared" si="0"/>
        <v>12</v>
      </c>
      <c r="K14">
        <f t="shared" si="1"/>
        <v>12</v>
      </c>
      <c r="L14">
        <f t="shared" si="2"/>
        <v>0</v>
      </c>
      <c r="M14">
        <f t="shared" si="3"/>
        <v>0</v>
      </c>
      <c r="N14">
        <f t="shared" si="4"/>
        <v>0</v>
      </c>
    </row>
    <row r="15" spans="1:14">
      <c r="A15" t="s">
        <v>86</v>
      </c>
      <c r="B15">
        <v>2</v>
      </c>
      <c r="C15">
        <v>201</v>
      </c>
      <c r="D15" s="11">
        <v>6</v>
      </c>
      <c r="E15" s="11">
        <v>6</v>
      </c>
      <c r="F15" s="11">
        <v>1</v>
      </c>
      <c r="G15" t="s">
        <v>84</v>
      </c>
      <c r="J15">
        <f t="shared" si="0"/>
        <v>12</v>
      </c>
      <c r="K15">
        <f t="shared" si="1"/>
        <v>12</v>
      </c>
      <c r="L15">
        <f t="shared" si="2"/>
        <v>0</v>
      </c>
      <c r="M15">
        <f t="shared" si="3"/>
        <v>0</v>
      </c>
      <c r="N15">
        <f t="shared" si="4"/>
        <v>2</v>
      </c>
    </row>
    <row r="16" spans="1:14">
      <c r="A16" t="s">
        <v>87</v>
      </c>
      <c r="B16">
        <v>4</v>
      </c>
      <c r="C16">
        <v>201</v>
      </c>
      <c r="D16">
        <v>8</v>
      </c>
      <c r="E16">
        <v>4</v>
      </c>
      <c r="F16">
        <v>1</v>
      </c>
      <c r="J16">
        <f>IF($C16=201, $B16*D16, 0)</f>
        <v>32</v>
      </c>
      <c r="K16">
        <f t="shared" si="1"/>
        <v>16</v>
      </c>
      <c r="L16">
        <f t="shared" si="2"/>
        <v>0</v>
      </c>
      <c r="M16">
        <f t="shared" si="3"/>
        <v>0</v>
      </c>
      <c r="N16">
        <f t="shared" si="4"/>
        <v>4</v>
      </c>
    </row>
    <row r="17" spans="1:14">
      <c r="A17" t="s">
        <v>88</v>
      </c>
      <c r="B17">
        <v>4</v>
      </c>
      <c r="C17">
        <v>601</v>
      </c>
      <c r="D17" s="11">
        <v>5</v>
      </c>
      <c r="E17" s="11"/>
      <c r="F17" s="11">
        <v>0</v>
      </c>
      <c r="G17" t="s">
        <v>89</v>
      </c>
    </row>
    <row r="19" spans="1:14">
      <c r="H19" s="6"/>
      <c r="I19" s="7"/>
      <c r="J19" s="7" t="s">
        <v>90</v>
      </c>
      <c r="K19" s="7" t="s">
        <v>91</v>
      </c>
      <c r="L19" s="7" t="s">
        <v>92</v>
      </c>
      <c r="M19" s="12" t="s">
        <v>62</v>
      </c>
    </row>
    <row r="20" spans="1:14" ht="15" customHeight="1">
      <c r="H20" s="15" t="s">
        <v>93</v>
      </c>
      <c r="I20" s="16"/>
      <c r="J20" t="s">
        <v>94</v>
      </c>
      <c r="K20" s="9" t="s">
        <v>95</v>
      </c>
      <c r="L20" t="s">
        <v>96</v>
      </c>
      <c r="M20" s="13">
        <f>SUM(J2:J16)</f>
        <v>74</v>
      </c>
      <c r="N20" t="s">
        <v>97</v>
      </c>
    </row>
    <row r="21" spans="1:14">
      <c r="H21" s="15"/>
      <c r="I21" s="16"/>
      <c r="J21" t="s">
        <v>98</v>
      </c>
      <c r="K21" s="9" t="s">
        <v>99</v>
      </c>
      <c r="L21" t="s">
        <v>96</v>
      </c>
      <c r="M21" s="13">
        <f>SUM(K2:K16)</f>
        <v>60</v>
      </c>
      <c r="N21" t="s">
        <v>100</v>
      </c>
    </row>
    <row r="22" spans="1:14">
      <c r="H22" s="15"/>
      <c r="I22" s="16"/>
      <c r="J22" t="s">
        <v>101</v>
      </c>
      <c r="K22" s="9" t="s">
        <v>102</v>
      </c>
      <c r="L22" t="s">
        <v>103</v>
      </c>
      <c r="M22" s="13">
        <f>SUM(L2:L16)</f>
        <v>76</v>
      </c>
      <c r="N22" t="s">
        <v>97</v>
      </c>
    </row>
    <row r="23" spans="1:14">
      <c r="H23" s="15"/>
      <c r="I23" s="16"/>
      <c r="J23" t="s">
        <v>104</v>
      </c>
      <c r="K23" s="9" t="s">
        <v>105</v>
      </c>
      <c r="L23" t="s">
        <v>103</v>
      </c>
      <c r="M23" s="13">
        <f>SUM(M2:M16)</f>
        <v>84</v>
      </c>
      <c r="N23" t="s">
        <v>100</v>
      </c>
    </row>
    <row r="24" spans="1:14">
      <c r="H24" s="17" t="s">
        <v>106</v>
      </c>
      <c r="I24" s="18"/>
      <c r="J24" s="8" t="s">
        <v>107</v>
      </c>
      <c r="K24" s="10" t="s">
        <v>108</v>
      </c>
      <c r="L24" s="8" t="s">
        <v>109</v>
      </c>
      <c r="M24" s="14">
        <f>SUM(N2:N16)</f>
        <v>20</v>
      </c>
      <c r="N24" t="s">
        <v>110</v>
      </c>
    </row>
  </sheetData>
  <mergeCells count="2">
    <mergeCell ref="H20:I23"/>
    <mergeCell ref="H24:I24"/>
  </mergeCells>
  <dataValidations count="1">
    <dataValidation type="list" allowBlank="1" showInputMessage="1" showErrorMessage="1" sqref="C2:C17" xr:uid="{DD97AA00-C61E-4BC2-B07D-057CFAC40250}">
      <formula1>"0201, 0601, 0602"</formula1>
    </dataValidation>
  </dataValidations>
  <hyperlinks>
    <hyperlink ref="K23" r:id="rId1" xr:uid="{B14970B2-FCB4-4473-807E-41141E35F69E}"/>
    <hyperlink ref="K22" r:id="rId2" xr:uid="{691466CE-15ED-4FEA-A365-9FA6F606C11C}"/>
    <hyperlink ref="K21" r:id="rId3" xr:uid="{DBBCF15E-8D0A-4637-9C45-8DA74B3A16FA}"/>
    <hyperlink ref="K20" r:id="rId4" xr:uid="{296B466F-3AF2-4291-B7F6-6C6E29B2103C}"/>
    <hyperlink ref="K24" r:id="rId5" xr:uid="{897C0010-1A0E-4476-B7D9-B613098901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73A1-0926-4E68-B525-20BC944561A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9423-E95C-4727-92BD-A3C3A8F64A0E}">
  <dimension ref="A1"/>
  <sheetViews>
    <sheetView workbookViewId="0">
      <selection activeCell="F29" sqref="F2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2025-09-12T16:37:12Z</dcterms:created>
  <dcterms:modified xsi:type="dcterms:W3CDTF">2026-02-03T15:29:20Z</dcterms:modified>
  <cp:category/>
  <cp:contentStatus/>
</cp:coreProperties>
</file>